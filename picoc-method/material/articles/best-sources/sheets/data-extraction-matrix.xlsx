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rni Junior\Documents\ARTIGO RAG\FONTES\m\"/>
    </mc:Choice>
  </mc:AlternateContent>
  <xr:revisionPtr revIDLastSave="0" documentId="13_ncr:1_{1CF4D394-CBE4-4515-8164-4B21ACA4BA25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Data Extraction Matrix (2)" sheetId="2" r:id="rId1"/>
    <sheet name="Data Extraction Matri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<sst xmlns="http://schemas.openxmlformats.org/spreadsheetml/2006/main" count="217" uniqueCount="127">
  <si>
    <t>Segurança e Implementação de Chatbots LLM - Data Extraction Matrix</t>
  </si>
  <si>
    <t>Análise e extração sistemática de dados de segurança de LLMs e RAG com foco em pequenas empresas. Atualizado em 10 de Agosto de 2026.</t>
  </si>
  <si>
    <t>LLaMA, GPT, Claude, Gemini</t>
  </si>
  <si>
    <t>Injeção Indireta &amp; Context Poisoning</t>
  </si>
  <si>
    <t>ARTIGOS ANALISADOS</t>
  </si>
  <si>
    <t>FAMÍLIAS DE LLM MAIS AVALIADAS</t>
  </si>
  <si>
    <t>VETORES DE ATAQUE CRÍTICOS</t>
  </si>
  <si>
    <t>Artigo / Estudo</t>
  </si>
  <si>
    <t>Modelos de LLM Avaliados</t>
  </si>
  <si>
    <t>Vetores de Ataque Analisados</t>
  </si>
  <si>
    <t>Controles Defensivos Testados</t>
  </si>
  <si>
    <t>ASR (Attack Success Rate) Reportada</t>
  </si>
  <si>
    <t>DLR (Data Leakage Rate) Reportada</t>
  </si>
  <si>
    <t>Utilidade / RAGAS Relevância</t>
  </si>
  <si>
    <t>A Layered Security Framework Against Prompt Injection</t>
  </si>
  <si>
    <t>GPT-4o, LLaMA 3 8B, Outro (Mistral 7B)</t>
  </si>
  <si>
    <t>Direct Injection, Indirect Injection, Data Exfiltration</t>
  </si>
  <si>
    <t>Multi-layer, None (Baseline), Outro (NeMo Guardrails)</t>
  </si>
  <si>
    <t>Baseline: 71.4% / Protegido: 11.3% (Redução de 60.1 pp)</t>
  </si>
  <si>
    <t>Não reportada sob essa métrica (avaliada via similaridade)</t>
  </si>
  <si>
    <t>BERTScore F1 mantido (0.91 Baseline / 0.89 Protegido); Overhead de latência mediana de 61.2 ms</t>
  </si>
  <si>
    <t>ATAG AI-Agent Application Threat Assessment with Attack Graphs</t>
  </si>
  <si>
    <t>LLaMA 3 8B, Outro (GPT-4o-mini, Gemini 2.0 Flash)</t>
  </si>
  <si>
    <t>Direct Injection, Data Exfiltration, Outro (Excessive Agency, malware download)</t>
  </si>
  <si>
    <t>None (Baseline) / Modelagem na ausência de input sanitization</t>
  </si>
  <si>
    <t>ASR de 64.0% em exfiltração; ASR média geral de 65.0% no modelo estatístico do grafo de ataque</t>
  </si>
  <si>
    <t>Não reportada</t>
  </si>
  <si>
    <t>Foco na modelagem e mitigação de vulnerabilidades sistêmicas por design de fluxo</t>
  </si>
  <si>
    <t>Automated adversarial red-teaming for evaluating robustness in LLM-based recommender systems</t>
  </si>
  <si>
    <t>LLaMA 3 70B, Outro (GPT-4, Mistral-7B)</t>
  </si>
  <si>
    <t>Direct Injection, Indirect Injection, Jailbreak, Outro (Persona Hijacking, Context Smuggling, Few Shot Poisoning, Payload Splitting, Encoding Obfuscation, Goal Hijacking, Privilege Escalation, Adversarial Suffix, Shilling, Semantic Poisoning)</t>
  </si>
  <si>
    <t>Multi-layer, None (Baseline)</t>
  </si>
  <si>
    <t>Pré-endurecimento (ASR média): Amazon (42.4%), MovieLens (48.1%), Yelp (52.0%); Sufixo Adversarial obteve 100%. Pós-endurecimento (Round 8): Amazon (18.5%), MovieLens (12.3%), Yelp (16.2%)</t>
  </si>
  <si>
    <t>Benign Hit Rate (RHRben): Amazon (0.658), MovieLens (0.664), Yelp (0.644); Overhead de latência de 17 ms no pipeline</t>
  </si>
  <si>
    <t>Clouding the Mirror Stealthy Prompt Injection Attacks Targeting</t>
  </si>
  <si>
    <t>Outro (GPT-5, Grok 4 Fast, Llama 4 Maverick, Gemma 3 27B)</t>
  </si>
  <si>
    <t>Direct Injection, Indirect Injection, Jailbreak, Outro (Legitimate Pretexting, Role Hijacking, Tool/Function Hijacking, Content Flooding)</t>
  </si>
  <si>
    <t>Multi-layer (InjectDefuser), None (Baseline)</t>
  </si>
  <si>
    <t>Baseline: GPT-5 (39.9%), Grok 4 Fast (65.1%), Llama 4 (84.7%), Gemma 3 (64.7%). InjectDefuser: GPT-5 (0.3%), Grok 4 Fast (26.1%), Llama 4 (61.7%), Gemma 3 (36.7%)</t>
  </si>
  <si>
    <t>Análise visual de screenshots e integridade de extração estruturada de URLs</t>
  </si>
  <si>
    <t>Cross-layer contagion of prompt injections in multi-agent swarms a multiplex microscopic markov chain approach</t>
  </si>
  <si>
    <t>Outro (Modelos comerciais altamente alinhados avaliados de forma genérica)</t>
  </si>
  <si>
    <t>Indirect Injection, Outro (Transmissão agente-agente, envenenamento de ferramentas)</t>
  </si>
  <si>
    <t>Multi-layer, None (Baseline), Outro (Alocação de orçamento de defesa, HITL)</t>
  </si>
  <si>
    <t>ASR de 0.00% sob injeções zero-shot padrão; 10% a 30% em ataques avançados</t>
  </si>
  <si>
    <t>Não reportada (foco em prevalência endêmica e R0 no multiplex)</t>
  </si>
  <si>
    <t>Medido pelo aumento na taxa de falsa rejeição (FRR) de chamadas de ferramentas legítimas</t>
  </si>
  <si>
    <t>EmoRAG Evaluating RAG Robustness to Symbolic Perturbations</t>
  </si>
  <si>
    <t>GPT-4o, LLaMA 3 8B, Outro (Qwen 2.5 1.5B)</t>
  </si>
  <si>
    <t>Context Poisoning, Direct Injection, Indirect Injection, Outro (Corpus Poisoning, GCG Suffix)</t>
  </si>
  <si>
    <t>Multi-layer (Robust-RAG, Self-RAG), None (Baseline)</t>
  </si>
  <si>
    <t>ASR de ~100% sob consultas perturbadas sem proteção. Com Robust-RAG e Self-RAG, a ASR do EmoRAG fica entre 75.5% e 91.2%</t>
  </si>
  <si>
    <t>F1-Score do retriever é de 0.0 em consultas limpas (100% de preservação de precisão benigna)</t>
  </si>
  <si>
    <t>FlippedRAG Black-Box Opinion Manipulation Adversarial Attacks to Retrieval-Augmented Generation Models</t>
  </si>
  <si>
    <t>LLaMA 3 (Llama-3-8B), Outro (Mixtral, Vicuna)</t>
  </si>
  <si>
    <t>Context Poisoning, Indirect Injection, Outro (Opinion Manipulation)</t>
  </si>
  <si>
    <t>None (Baseline), Outro (Filtros de perplexidade GPT-2, detectores de spam, masking de embeddings)</t>
  </si>
  <si>
    <t>Opinion Manipulation Success Rate (OMSR) de 33.33% a 53.33% nos diferentes LLMs (comparado a PoisonedRAG com 56%-66%)</t>
  </si>
  <si>
    <t>Acurácia benigna avaliada através de NDCG@10 e similaridade de ranking inter-lista</t>
  </si>
  <si>
    <t>Human-Imperceptible Retrieval Poisoning Attacks in LLM-Powered Applications</t>
  </si>
  <si>
    <t>Outro (Llama2-7b, Llama2-13b, Mistral-7b)</t>
  </si>
  <si>
    <t>Context Poisoning, Indirect Injection (Retrieval Poisoning)</t>
  </si>
  <si>
    <t>None (Baseline)</t>
  </si>
  <si>
    <t>ASR média de 88.33% em modelos isolados; 66.67% de ASR na aplicação real ChatChat (PDF/MD/HTML)</t>
  </si>
  <si>
    <t>Comportamento testado em consultas longas com trigger médio imperceptível de 30.36 tokens</t>
  </si>
  <si>
    <t>Multi-Agent AI Framework for Threat Mitigation and Resilience in Machine Learning Systems</t>
  </si>
  <si>
    <t>Claude 3.5, GPT-4o, Outro (Gemini 1.5, DeepSeek-R1, LLaMA-7B)</t>
  </si>
  <si>
    <t>Direct Injection, Indirect Injection, Jailbreak, Outro (Envenenamento de dados, LoRA leakage, model extraction)</t>
  </si>
  <si>
    <t>Multi-layer (GNN multiagente para mitigação ativa), None (Baseline)</t>
  </si>
  <si>
    <t>CVS (Composite Vulnerability Score): GPT-4o (0.95), Claude-3.5 (similar), LLaMA-7B (1.0 risk). PGD atinge 100% em CNNs.</t>
  </si>
  <si>
    <t>Não quantificada formalmente como taxa DLR</t>
  </si>
  <si>
    <t>Redução significativa do tempo de ação no SOC (p &lt; 0.01) e taxas de falsos positivos controladas (p = 0.44)</t>
  </si>
  <si>
    <t>Not What You've Signed Up For Compromising Real-World LLM-Integrated Applications with Indirect Prompt Injection</t>
  </si>
  <si>
    <t>Outro (GPT-4 / Bing Chat, ChatGPT)</t>
  </si>
  <si>
    <t>Data Exfiltration, Indirect Injection, Jailbreak, Outro (Intrusão, chamadas de API, phishing)</t>
  </si>
  <si>
    <t>Demonstração qualitativa prática: 100% das provas de conceito de sequestro de ações foram bem-sucedidas</t>
  </si>
  <si>
    <t>Análise de persistência de injeção ao longo da sessão de chat</t>
  </si>
  <si>
    <t>PR-Attack Coordinated Prompt-RAG Attacks on Retrieval-Augmented Generation in Large Language Models via Bilevel Optimization</t>
  </si>
  <si>
    <t>Outro (Llama-2 7B, Vicuna 7B, GPT-J 6B, Gemma-2 2B, Llama-3.2 1B, Phi-3.5 3.8B)</t>
  </si>
  <si>
    <t>Context Poisoning, Indirect Injection, Outro (GCG, GGPP, Corpus Poisoning)</t>
  </si>
  <si>
    <t>None (Baseline / Naive RAG)</t>
  </si>
  <si>
    <t>ASR média massiva de 91.0% a 99.0% em todos os LLMs e datasets sob ataque coordenado PR-Attack</t>
  </si>
  <si>
    <t>Acurácia de resposta benigna (ACC) cai de ~85% para quase zero após ativação do gatilho</t>
  </si>
  <si>
    <t>Phantom General Backdoor Attacks on Retrieval Augmented Language Generation</t>
  </si>
  <si>
    <t>LLaMA 3 8B, Outro (Vicuna 7B/13B, Gemma 2B/7B, GPT-3.5-turbo, GPT-4)</t>
  </si>
  <si>
    <t>Context Poisoning, Indirect Injection, Outro (Recusa, opinião enviesada, exfiltração de passagens, tool abuse)</t>
  </si>
  <si>
    <t>None (Baseline), Outro (Filtros de perplexidade, paráfrase, contrastive BGE/GTE)</t>
  </si>
  <si>
    <t>Refusal: 74.6% a 100% (Vicuna). Opinião enviesada: 80.0% a 96.0%. Black-box: GPT-3.5 (50.7%-68.0%), GPT-4 (10.7%-25.3%)</t>
  </si>
  <si>
    <t>Retrieval Failure Rate (Ret-FR): retrievers modernos como GTE e BGE barram triggers curtos, mas sucumbem a triggers longos</t>
  </si>
  <si>
    <t>Quantifying Return on Security Controls in LLM</t>
  </si>
  <si>
    <t>Outro (DeepSeek-R1)</t>
  </si>
  <si>
    <t>Context Poisoning, Data Exfiltration, Direct Injection, Outro (Divergence, Atkgen)</t>
  </si>
  <si>
    <t>PII Redaction (Microsoft Presidio NER), None (Baseline), Outro (ABAC, NeMo Guardrails)</t>
  </si>
  <si>
    <t>Baseline LRS: PII (0.980), Latent (0.993), Prompt (0.998). ABAC: PII (0.019), Latent (0.117), Prompt (0.001). NER: PII (0.019), Latent (0.993), Prompt (0.998)</t>
  </si>
  <si>
    <t>Não quantificada formalmente como DLR (avaliada via Expected Loss financeira)</t>
  </si>
  <si>
    <t>Return on Control (RoC) calculado via Monte Carlo: ABAC (9.83), NER (5.89), NeMo (0.05)</t>
  </si>
  <si>
    <t>Securing LLM-as-a-Service for Small Businesses An IndustryCase Study of a Distributed Chatbot Deployment Platform</t>
  </si>
  <si>
    <t>Outro (GPT-4.1-mini, GPT-4.1, Ministral-3B)</t>
  </si>
  <si>
    <t>Direct Injection, Indirect Injection</t>
  </si>
  <si>
    <t>None (Baseline), Multi-layer (GenTel-Safe: delimiters, sandwich, guard prompts, instruction defense)</t>
  </si>
  <si>
    <t>Não reportada explicitamente como ASR (Guard Prompts sozinhos alcançam recall de 99.6%-100% de detecção contra injeção)</t>
  </si>
  <si>
    <t>Combined F1-Score do middleware de segurança em torno de 99.8% com baixa taxa de falsos positivos</t>
  </si>
  <si>
    <t>The Hidden Threat in Plain Text Attacking RAG Data Loaders</t>
  </si>
  <si>
    <t>Outro (DeepSeek-R1, Gemma 3, LLaMA, NotebookLM, GPT-4o, o3-mini)</t>
  </si>
  <si>
    <t>Context Poisoning, Indirect Injection, Outro (Zero-width, zero-size font, transparent text, metadata, homoglyphs, out-of-bound)</t>
  </si>
  <si>
    <t>None (Baseline) (Mapeia e avalia vulnerabilidade de 6 data loaders populares)</t>
  </si>
  <si>
    <t>ASR de 1.0 (100%) em injeções invisíveis para a maioria dos loaders de dados (Docling, Haystack, LangChain, LlamaIndex, LLMSherpa, NotebookLM)</t>
  </si>
  <si>
    <t>Não quantificada formalmente (vazamento avaliado qualitativamente)</t>
  </si>
  <si>
    <t>Preservação de 100% da acurácia benigna. Pipelines baseados em OCR reduzem &gt;90% dos ataques, mas adicionam alto overhead computacional</t>
  </si>
  <si>
    <t>Towards Hijacking the Actions of Large Language Model-based Applications</t>
  </si>
  <si>
    <t>Outro (Llama, Vicuna, Qwen2, DeepSeek-R1, GPT-3.5, GPT-4)</t>
  </si>
  <si>
    <t>Indirect Injection, Jailbreak, Outro (Action Hijacking, SQL e P2SQL Injection)</t>
  </si>
  <si>
    <t>LLM-as-judge (GPT-Eliezer), None (Baseline), Outro (Filtros de banned words, classificadores BERT, NLR2 paraphrasing)</t>
  </si>
  <si>
    <t>AI2 sequestra ações e extrai dados com sucesso. Bypass de defesas de saída: Banned Words (25% a 100% bypass), Latent (25% a 98.7% bypass)</t>
  </si>
  <si>
    <t>Uso de BLEU score para comprovar a preservação da fluência de geração pós-filtragem semântica NLR2</t>
  </si>
  <si>
    <t>Traceback of Poisoning Attacks to Retrieval-AugmentedGeneration</t>
  </si>
  <si>
    <t>Outro (Llama-2 7b)</t>
  </si>
  <si>
    <t>Context Poisoning, Indirect Injection, Outro (PoisonedRAG-B/W, InstruInject)</t>
  </si>
  <si>
    <t>None (Baseline), Outro (Perplexity filtering, RobustRAG, erasure training KE, PTR RAGForensics)</t>
  </si>
  <si>
    <t>Sem defesa: ASR de 100%. RobustRAG reduz ASR para faixas de 14% a 82%. A defesa proposta PTR+BTE reduz a ASR para 0.0%</t>
  </si>
  <si>
    <t>Acurácia de resposta benigna (ACC) restaurada para faixas entre 96% e 100% com o uso de PTR+BTE</t>
  </si>
  <si>
    <t>Trust-Aware_Orchestration_Architecture_for_LLM-Assisted_Workflows_in_Multi-Tenant_Enterprise_Systems</t>
  </si>
  <si>
    <t>Claude 3, Claude 3.5, Outro (LLaMA 3.2 3B, gpt-oss 13B)</t>
  </si>
  <si>
    <t>Multi-layer (L1-L7: input sanitization, auth, policy evaluation, retrieval filtering, schema validation, execution, output compliance), None (Baseline)</t>
  </si>
  <si>
    <t>ASR estrita contra desvios de privilégio é de 0.0% nos modelos Claude; gpt-oss (1.2%) e Llama-3.2 (1.9%). ASR de manipulação de intenção é de 30% a 70%</t>
  </si>
  <si>
    <t>TIP (Tenant Isolation Preservation) perfeito de 1.000 (100% de bloqueio de vazamento cruzado)</t>
  </si>
  <si>
    <t>FRR (False Rejection Rate) de 0% para Claude, 0.8% para gpt-oss e 15.2% para Llama-3.2-3B; overhead do guardrail de ~12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</si>
</sst>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D9D9D9"/>
      <name val="Calibri"/>
    </font>
    <font>
      <b/>
      <sz val="14"/>
      <color rgb="FF1F4E79"/>
      <name val="Calibri"/>
    </font>
    <font>
      <b/>
      <sz val="9"/>
      <color rgb="FF595959"/>
      <name val="Calibri"/>
    </font>
    <font>
      <b/>
      <sz val="10"/>
      <color rgb="FF1F4E79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D488-20C9-4D7D-A4E2-D1A18772F58B}">
  <dimension ref="A1:G16"/>
  <sheetViews>
    <sheetView showGridLines="0" tabSelected="1" topLeftCell="A7" workbookViewId="0">
      <selection activeCell="A9" sqref="A9"/>
    </sheetView>
  </sheetViews>
  <sheetFormatPr defaultRowHeight="15" x14ac:dyDescent="0.25"/>
  <cols>
    <col min="1" max="1" width="40" customWidth="1"/>
    <col min="2" max="2" width="28" customWidth="1"/>
    <col min="3" max="3" width="35" customWidth="1"/>
    <col min="4" max="4" width="32" customWidth="1"/>
    <col min="5" max="5" width="35" customWidth="1"/>
    <col min="6" max="6" width="28" customWidth="1"/>
    <col min="7" max="7" width="40" customWidth="1"/>
  </cols>
  <sheetData>
    <row r="1" spans="1:7" ht="35.1" customHeight="1" x14ac:dyDescent="0.25">
      <c r="A1" s="13" t="s">
        <v>0</v>
      </c>
      <c r="B1" s="12"/>
      <c r="C1" s="12"/>
      <c r="D1" s="12"/>
      <c r="E1" s="12"/>
      <c r="F1" s="12"/>
      <c r="G1" s="12"/>
    </row>
    <row r="2" spans="1:7" ht="20.100000000000001" customHeight="1" x14ac:dyDescent="0.25">
      <c r="A2" s="11" t="s">
        <v>1</v>
      </c>
      <c r="B2" s="12"/>
      <c r="C2" s="12"/>
      <c r="D2" s="12"/>
      <c r="E2" s="12"/>
      <c r="F2" s="12"/>
      <c r="G2" s="12"/>
    </row>
    <row r="4" spans="1:7" ht="24.95" customHeight="1" x14ac:dyDescent="0.25">
      <c r="A4" s="1">
        <f>COUNTA(A8:A16)</f>
        <v>9</v>
      </c>
      <c r="B4" s="2" t="s">
        <v>2</v>
      </c>
      <c r="C4" s="2" t="s">
        <v>3</v>
      </c>
    </row>
    <row r="5" spans="1:7" ht="18" customHeight="1" x14ac:dyDescent="0.25">
      <c r="A5" s="3" t="s">
        <v>4</v>
      </c>
      <c r="B5" s="3" t="s">
        <v>5</v>
      </c>
      <c r="C5" s="3" t="s">
        <v>6</v>
      </c>
    </row>
    <row r="7" spans="1:7" ht="27.95" customHeight="1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spans="1:7" ht="65.099999999999994" customHeight="1" x14ac:dyDescent="0.25">
      <c r="A8" s="5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</row>
    <row r="9" spans="1:7" ht="65.099999999999994" customHeight="1" x14ac:dyDescent="0.25">
      <c r="A9" s="5" t="s">
        <v>28</v>
      </c>
      <c r="B9" s="6" t="s">
        <v>29</v>
      </c>
      <c r="C9" s="6" t="s">
        <v>30</v>
      </c>
      <c r="D9" s="6" t="s">
        <v>31</v>
      </c>
      <c r="E9" s="6" t="s">
        <v>32</v>
      </c>
      <c r="F9" s="6" t="s">
        <v>26</v>
      </c>
      <c r="G9" s="6" t="s">
        <v>33</v>
      </c>
    </row>
    <row r="10" spans="1:7" ht="65.099999999999994" customHeight="1" x14ac:dyDescent="0.25">
      <c r="A10" s="7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8" t="s">
        <v>26</v>
      </c>
      <c r="G10" s="8" t="s">
        <v>39</v>
      </c>
    </row>
    <row r="11" spans="1:7" ht="65.099999999999994" customHeight="1" x14ac:dyDescent="0.25">
      <c r="A11" s="5" t="s">
        <v>40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</row>
    <row r="12" spans="1:7" ht="65.099999999999994" customHeight="1" x14ac:dyDescent="0.25">
      <c r="A12" s="7" t="s">
        <v>47</v>
      </c>
      <c r="B12" s="8" t="s">
        <v>48</v>
      </c>
      <c r="C12" s="8" t="s">
        <v>49</v>
      </c>
      <c r="D12" s="8" t="s">
        <v>50</v>
      </c>
      <c r="E12" s="8" t="s">
        <v>51</v>
      </c>
      <c r="F12" s="8" t="s">
        <v>26</v>
      </c>
      <c r="G12" s="8" t="s">
        <v>52</v>
      </c>
    </row>
    <row r="13" spans="1:7" ht="65.099999999999994" customHeight="1" x14ac:dyDescent="0.25">
      <c r="A13" s="5" t="s">
        <v>53</v>
      </c>
      <c r="B13" s="6" t="s">
        <v>54</v>
      </c>
      <c r="C13" s="6" t="s">
        <v>55</v>
      </c>
      <c r="D13" s="6" t="s">
        <v>56</v>
      </c>
      <c r="E13" s="6" t="s">
        <v>57</v>
      </c>
      <c r="F13" s="6" t="s">
        <v>26</v>
      </c>
      <c r="G13" s="6" t="s">
        <v>58</v>
      </c>
    </row>
    <row r="14" spans="1:7" ht="65.099999999999994" customHeight="1" x14ac:dyDescent="0.25">
      <c r="A14" s="5" t="s">
        <v>89</v>
      </c>
      <c r="B14" s="6" t="s">
        <v>90</v>
      </c>
      <c r="C14" s="6" t="s">
        <v>91</v>
      </c>
      <c r="D14" s="6" t="s">
        <v>92</v>
      </c>
      <c r="E14" s="6" t="s">
        <v>93</v>
      </c>
      <c r="F14" s="6" t="s">
        <v>94</v>
      </c>
      <c r="G14" s="6" t="s">
        <v>95</v>
      </c>
    </row>
    <row r="15" spans="1:7" ht="65.099999999999994" customHeight="1" x14ac:dyDescent="0.25">
      <c r="A15" s="7" t="s">
        <v>96</v>
      </c>
      <c r="B15" s="8" t="s">
        <v>97</v>
      </c>
      <c r="C15" s="8" t="s">
        <v>98</v>
      </c>
      <c r="D15" s="8" t="s">
        <v>99</v>
      </c>
      <c r="E15" s="8" t="s">
        <v>100</v>
      </c>
      <c r="F15" s="8" t="s">
        <v>26</v>
      </c>
      <c r="G15" s="8" t="s">
        <v>101</v>
      </c>
    </row>
    <row r="16" spans="1:7" ht="65.099999999999994" customHeight="1" thickBot="1" x14ac:dyDescent="0.3">
      <c r="A16" s="9" t="s">
        <v>121</v>
      </c>
      <c r="B16" s="10" t="s">
        <v>122</v>
      </c>
      <c r="C16" s="10" t="s">
        <v>98</v>
      </c>
      <c r="D16" s="10" t="s">
        <v>123</v>
      </c>
      <c r="E16" s="10" t="s">
        <v>124</v>
      </c>
      <c r="F16" s="10" t="s">
        <v>125</v>
      </c>
      <c r="G16" s="10" t="s">
        <v>126</v>
      </c>
    </row>
  </sheetData>
  <mergeCells count="2">
    <mergeCell ref="A1:G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workbookViewId="0">
      <selection sqref="A1:G1"/>
    </sheetView>
  </sheetViews>
  <sheetFormatPr defaultRowHeight="15" x14ac:dyDescent="0.25"/>
  <cols>
    <col min="1" max="1" width="40" customWidth="1"/>
    <col min="2" max="2" width="28" customWidth="1"/>
    <col min="3" max="3" width="35" customWidth="1"/>
    <col min="4" max="4" width="32" customWidth="1"/>
    <col min="5" max="5" width="35" customWidth="1"/>
    <col min="6" max="6" width="28" customWidth="1"/>
    <col min="7" max="7" width="40" customWidth="1"/>
  </cols>
  <sheetData>
    <row r="1" spans="1:7" ht="35.1" customHeight="1" x14ac:dyDescent="0.25">
      <c r="A1" s="13" t="s">
        <v>0</v>
      </c>
      <c r="B1" s="12"/>
      <c r="C1" s="12"/>
      <c r="D1" s="12"/>
      <c r="E1" s="12"/>
      <c r="F1" s="12"/>
      <c r="G1" s="12"/>
    </row>
    <row r="2" spans="1:7" ht="20.100000000000001" customHeight="1" x14ac:dyDescent="0.25">
      <c r="A2" s="11" t="s">
        <v>1</v>
      </c>
      <c r="B2" s="12"/>
      <c r="C2" s="12"/>
      <c r="D2" s="12"/>
      <c r="E2" s="12"/>
      <c r="F2" s="12"/>
      <c r="G2" s="12"/>
    </row>
    <row r="4" spans="1:7" ht="24.95" customHeight="1" x14ac:dyDescent="0.25">
      <c r="A4" s="1">
        <f>COUNTA(A8:A25)</f>
        <v>18</v>
      </c>
      <c r="B4" s="2" t="s">
        <v>2</v>
      </c>
      <c r="C4" s="2" t="s">
        <v>3</v>
      </c>
    </row>
    <row r="5" spans="1:7" ht="18" customHeight="1" x14ac:dyDescent="0.25">
      <c r="A5" s="3" t="s">
        <v>4</v>
      </c>
      <c r="B5" s="3" t="s">
        <v>5</v>
      </c>
      <c r="C5" s="3" t="s">
        <v>6</v>
      </c>
    </row>
    <row r="7" spans="1:7" ht="27.95" customHeight="1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spans="1:7" ht="65.099999999999994" customHeight="1" x14ac:dyDescent="0.25">
      <c r="A8" s="5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6" t="s">
        <v>19</v>
      </c>
      <c r="G8" s="6" t="s">
        <v>20</v>
      </c>
    </row>
    <row r="9" spans="1:7" ht="65.099999999999994" customHeight="1" x14ac:dyDescent="0.25">
      <c r="A9" s="7" t="s">
        <v>21</v>
      </c>
      <c r="B9" s="8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</row>
    <row r="10" spans="1:7" ht="65.099999999999994" customHeight="1" x14ac:dyDescent="0.25">
      <c r="A10" s="5" t="s">
        <v>28</v>
      </c>
      <c r="B10" s="6" t="s">
        <v>29</v>
      </c>
      <c r="C10" s="6" t="s">
        <v>30</v>
      </c>
      <c r="D10" s="6" t="s">
        <v>31</v>
      </c>
      <c r="E10" s="6" t="s">
        <v>32</v>
      </c>
      <c r="F10" s="6" t="s">
        <v>26</v>
      </c>
      <c r="G10" s="6" t="s">
        <v>33</v>
      </c>
    </row>
    <row r="11" spans="1:7" ht="65.099999999999994" customHeight="1" x14ac:dyDescent="0.25">
      <c r="A11" s="7" t="s">
        <v>34</v>
      </c>
      <c r="B11" s="8" t="s">
        <v>35</v>
      </c>
      <c r="C11" s="8" t="s">
        <v>36</v>
      </c>
      <c r="D11" s="8" t="s">
        <v>37</v>
      </c>
      <c r="E11" s="8" t="s">
        <v>38</v>
      </c>
      <c r="F11" s="8" t="s">
        <v>26</v>
      </c>
      <c r="G11" s="8" t="s">
        <v>39</v>
      </c>
    </row>
    <row r="12" spans="1:7" ht="65.099999999999994" customHeight="1" x14ac:dyDescent="0.25">
      <c r="A12" s="5" t="s">
        <v>40</v>
      </c>
      <c r="B12" s="6" t="s">
        <v>41</v>
      </c>
      <c r="C12" s="6" t="s">
        <v>42</v>
      </c>
      <c r="D12" s="6" t="s">
        <v>43</v>
      </c>
      <c r="E12" s="6" t="s">
        <v>44</v>
      </c>
      <c r="F12" s="6" t="s">
        <v>45</v>
      </c>
      <c r="G12" s="6" t="s">
        <v>46</v>
      </c>
    </row>
    <row r="13" spans="1:7" ht="65.099999999999994" customHeight="1" x14ac:dyDescent="0.25">
      <c r="A13" s="7" t="s">
        <v>47</v>
      </c>
      <c r="B13" s="8" t="s">
        <v>48</v>
      </c>
      <c r="C13" s="8" t="s">
        <v>49</v>
      </c>
      <c r="D13" s="8" t="s">
        <v>50</v>
      </c>
      <c r="E13" s="8" t="s">
        <v>51</v>
      </c>
      <c r="F13" s="8" t="s">
        <v>26</v>
      </c>
      <c r="G13" s="8" t="s">
        <v>52</v>
      </c>
    </row>
    <row r="14" spans="1:7" ht="65.099999999999994" customHeight="1" x14ac:dyDescent="0.25">
      <c r="A14" s="5" t="s">
        <v>53</v>
      </c>
      <c r="B14" s="6" t="s">
        <v>54</v>
      </c>
      <c r="C14" s="6" t="s">
        <v>55</v>
      </c>
      <c r="D14" s="6" t="s">
        <v>56</v>
      </c>
      <c r="E14" s="6" t="s">
        <v>57</v>
      </c>
      <c r="F14" s="6" t="s">
        <v>26</v>
      </c>
      <c r="G14" s="6" t="s">
        <v>58</v>
      </c>
    </row>
    <row r="15" spans="1:7" ht="65.099999999999994" customHeight="1" x14ac:dyDescent="0.25">
      <c r="A15" s="7" t="s">
        <v>59</v>
      </c>
      <c r="B15" s="8" t="s">
        <v>60</v>
      </c>
      <c r="C15" s="8" t="s">
        <v>61</v>
      </c>
      <c r="D15" s="8" t="s">
        <v>62</v>
      </c>
      <c r="E15" s="8" t="s">
        <v>63</v>
      </c>
      <c r="F15" s="8" t="s">
        <v>26</v>
      </c>
      <c r="G15" s="8" t="s">
        <v>64</v>
      </c>
    </row>
    <row r="16" spans="1:7" ht="65.099999999999994" customHeight="1" x14ac:dyDescent="0.25">
      <c r="A16" s="5" t="s">
        <v>65</v>
      </c>
      <c r="B16" s="6" t="s">
        <v>66</v>
      </c>
      <c r="C16" s="6" t="s">
        <v>67</v>
      </c>
      <c r="D16" s="6" t="s">
        <v>68</v>
      </c>
      <c r="E16" s="6" t="s">
        <v>69</v>
      </c>
      <c r="F16" s="6" t="s">
        <v>70</v>
      </c>
      <c r="G16" s="6" t="s">
        <v>71</v>
      </c>
    </row>
    <row r="17" spans="1:7" ht="65.099999999999994" customHeight="1" x14ac:dyDescent="0.25">
      <c r="A17" s="7" t="s">
        <v>72</v>
      </c>
      <c r="B17" s="8" t="s">
        <v>73</v>
      </c>
      <c r="C17" s="8" t="s">
        <v>74</v>
      </c>
      <c r="D17" s="8" t="s">
        <v>62</v>
      </c>
      <c r="E17" s="8" t="s">
        <v>75</v>
      </c>
      <c r="F17" s="8" t="s">
        <v>26</v>
      </c>
      <c r="G17" s="8" t="s">
        <v>76</v>
      </c>
    </row>
    <row r="18" spans="1:7" ht="65.099999999999994" customHeight="1" x14ac:dyDescent="0.25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26</v>
      </c>
      <c r="G18" s="6" t="s">
        <v>82</v>
      </c>
    </row>
    <row r="19" spans="1:7" ht="65.099999999999994" customHeight="1" x14ac:dyDescent="0.25">
      <c r="A19" s="7" t="s">
        <v>83</v>
      </c>
      <c r="B19" s="8" t="s">
        <v>84</v>
      </c>
      <c r="C19" s="8" t="s">
        <v>85</v>
      </c>
      <c r="D19" s="8" t="s">
        <v>86</v>
      </c>
      <c r="E19" s="8" t="s">
        <v>87</v>
      </c>
      <c r="F19" s="8" t="s">
        <v>26</v>
      </c>
      <c r="G19" s="8" t="s">
        <v>88</v>
      </c>
    </row>
    <row r="20" spans="1:7" ht="65.099999999999994" customHeight="1" x14ac:dyDescent="0.25">
      <c r="A20" s="5" t="s">
        <v>89</v>
      </c>
      <c r="B20" s="6" t="s">
        <v>90</v>
      </c>
      <c r="C20" s="6" t="s">
        <v>91</v>
      </c>
      <c r="D20" s="6" t="s">
        <v>92</v>
      </c>
      <c r="E20" s="6" t="s">
        <v>93</v>
      </c>
      <c r="F20" s="6" t="s">
        <v>94</v>
      </c>
      <c r="G20" s="6" t="s">
        <v>95</v>
      </c>
    </row>
    <row r="21" spans="1:7" ht="65.099999999999994" customHeight="1" x14ac:dyDescent="0.25">
      <c r="A21" s="7" t="s">
        <v>96</v>
      </c>
      <c r="B21" s="8" t="s">
        <v>97</v>
      </c>
      <c r="C21" s="8" t="s">
        <v>98</v>
      </c>
      <c r="D21" s="8" t="s">
        <v>99</v>
      </c>
      <c r="E21" s="8" t="s">
        <v>100</v>
      </c>
      <c r="F21" s="8" t="s">
        <v>26</v>
      </c>
      <c r="G21" s="8" t="s">
        <v>101</v>
      </c>
    </row>
    <row r="22" spans="1:7" ht="65.099999999999994" customHeight="1" x14ac:dyDescent="0.25">
      <c r="A22" s="5" t="s">
        <v>102</v>
      </c>
      <c r="B22" s="6" t="s">
        <v>103</v>
      </c>
      <c r="C22" s="6" t="s">
        <v>104</v>
      </c>
      <c r="D22" s="6" t="s">
        <v>105</v>
      </c>
      <c r="E22" s="6" t="s">
        <v>106</v>
      </c>
      <c r="F22" s="6" t="s">
        <v>107</v>
      </c>
      <c r="G22" s="6" t="s">
        <v>108</v>
      </c>
    </row>
    <row r="23" spans="1:7" ht="65.099999999999994" customHeight="1" x14ac:dyDescent="0.25">
      <c r="A23" s="7" t="s">
        <v>109</v>
      </c>
      <c r="B23" s="8" t="s">
        <v>110</v>
      </c>
      <c r="C23" s="8" t="s">
        <v>111</v>
      </c>
      <c r="D23" s="8" t="s">
        <v>112</v>
      </c>
      <c r="E23" s="8" t="s">
        <v>113</v>
      </c>
      <c r="F23" s="8" t="s">
        <v>26</v>
      </c>
      <c r="G23" s="8" t="s">
        <v>114</v>
      </c>
    </row>
    <row r="24" spans="1:7" ht="65.099999999999994" customHeight="1" x14ac:dyDescent="0.25">
      <c r="A24" s="5" t="s">
        <v>115</v>
      </c>
      <c r="B24" s="6" t="s">
        <v>116</v>
      </c>
      <c r="C24" s="6" t="s">
        <v>117</v>
      </c>
      <c r="D24" s="6" t="s">
        <v>118</v>
      </c>
      <c r="E24" s="6" t="s">
        <v>119</v>
      </c>
      <c r="F24" s="6" t="s">
        <v>26</v>
      </c>
      <c r="G24" s="6" t="s">
        <v>120</v>
      </c>
    </row>
    <row r="25" spans="1:7" ht="65.099999999999994" customHeight="1" x14ac:dyDescent="0.25">
      <c r="A25" s="9" t="s">
        <v>121</v>
      </c>
      <c r="B25" s="10" t="s">
        <v>122</v>
      </c>
      <c r="C25" s="10" t="s">
        <v>98</v>
      </c>
      <c r="D25" s="10" t="s">
        <v>123</v>
      </c>
      <c r="E25" s="10" t="s">
        <v>124</v>
      </c>
      <c r="F25" s="10" t="s">
        <v>125</v>
      </c>
      <c r="G25" s="10" t="s">
        <v>126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 Extraction Matrix (2)</vt:lpstr>
      <vt:lpstr>Data Extraction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Erni Feix Junior</cp:lastModifiedBy>
  <dcterms:created xsi:type="dcterms:W3CDTF">2026-08-11T05:54:08Z</dcterms:created>
  <dcterms:modified xsi:type="dcterms:W3CDTF">2026-08-11T06:04:18Z</dcterms:modified>
</cp:coreProperties>
</file>