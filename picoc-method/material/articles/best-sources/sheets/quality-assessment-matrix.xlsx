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ity Assessment Matrix" sheetId="1" r:id="rId4"/>
  </sheets>
  <definedNames/>
  <calcPr/>
  <extLst>
    <ext uri="GoogleSheetsCustomDataVersion2">
      <go:sheetsCustomData xmlns:go="http://customooxmlschemas.google.com/" r:id="rId5" roundtripDataChecksum="PMLIpoSOcf6dTunUWAdx7HxYPsjcXytsdMIRI721a+g="/>
    </ext>
  </extLst>
</workbook>
</file>

<file path=xl/sharedStrings.xml><?xml version="1.0" encoding="utf-8"?>
<sst xmlns="http://schemas.openxmlformats.org/spreadsheetml/2006/main" count="255" uniqueCount="113">
  <si>
    <t>Quality Assessment Matrix - LLM Security Research</t>
  </si>
  <si>
    <t>Generated on 2026-08-10 | v1.0 (Source Grounded Analysis)</t>
  </si>
  <si>
    <t>LEGENDA DE AVALIAÇÃO</t>
  </si>
  <si>
    <t>Yes</t>
  </si>
  <si>
    <t>O artigo atende integralmente ao critério estabelecido.</t>
  </si>
  <si>
    <t>Partially</t>
  </si>
  <si>
    <t>O artigo atende parcialmente ou aborda o tema de forma alternativa.</t>
  </si>
  <si>
    <t>No</t>
  </si>
  <si>
    <t>O artigo não aborda ou não atende ao critério de forma alguma.</t>
  </si>
  <si>
    <t>RESUMO DO PORTFÓLIO (19 Artigos Analisados)</t>
  </si>
  <si>
    <t>Métrica de Resumo</t>
  </si>
  <si>
    <t>Q1: Threat Model</t>
  </si>
  <si>
    <t>Q2: DLR / ACL</t>
  </si>
  <si>
    <t>Q3: Est. Test</t>
  </si>
  <si>
    <t>Q4: Defense Compare</t>
  </si>
  <si>
    <t>Q5: Utility &amp; Lat.</t>
  </si>
  <si>
    <t>Q6: Open Source</t>
  </si>
  <si>
    <t>Total 'Yes' (Fórmula)</t>
  </si>
  <si>
    <t>Total 'Partially' (Fórmula)</t>
  </si>
  <si>
    <t>Total 'No' (Fórmula)</t>
  </si>
  <si>
    <t>Artigo / Estudo</t>
  </si>
  <si>
    <t>Q1: Caracterização de Vetores &amp; Threat Model?</t>
  </si>
  <si>
    <t>Q2: Avaliação de DLR / ACL no Banco Vetorial?</t>
  </si>
  <si>
    <t>Q3: Validação por Testes Estatísticos?</t>
  </si>
  <si>
    <t>Q4: Comparação sem vs. com Proteção?</t>
  </si>
  <si>
    <t>Q5: Métricas de Utilidade &amp; Latência?</t>
  </si>
  <si>
    <t>Q6: Artefatos Públicos / Reprodutibilidade?</t>
  </si>
  <si>
    <t xml:space="preserve">A Benchmarking Study of Multi-Layer Security Filters for Secure RAG Pipelines </t>
  </si>
  <si>
    <t>A Comprehensive Framework for Secure Multi-Agent Retrieval-Augmented Generation Systems</t>
  </si>
  <si>
    <t>A Layered Security Framework Against Prompt Injection</t>
  </si>
  <si>
    <t>ATAG AI-Agent Application Threat Assessment with Attack Graphs</t>
  </si>
  <si>
    <t>Automated adversarial red-teaming for recommender systems</t>
  </si>
  <si>
    <t>Clouding the Mirror Stealthy Prompt Injection Attacks</t>
  </si>
  <si>
    <t>Cross-layer contagion of prompt injections in multi-agent swarms</t>
  </si>
  <si>
    <t>EmoRAG Evaluating RAG Robustness to Symbolic Perturbations</t>
  </si>
  <si>
    <t>FlippedRAG Black-Box Opinion Manipulation Attacks</t>
  </si>
  <si>
    <t>Human-Imperceptible Retrieval Poisoning Attacks</t>
  </si>
  <si>
    <t>Not What You've Signed Up For: Compromising Real-World LLM-Integrated Applications with Indirect Prompt Injection</t>
  </si>
  <si>
    <t>Multi-Agent AI Framework for Threat Mitigation and Resilience</t>
  </si>
  <si>
    <t>Phantom General Backdoor Attacks on Retrieval Augmented Gen.</t>
  </si>
  <si>
    <t>PR-Attack Coordinated Prompt-RAG Attacks via Bilevel Opt.</t>
  </si>
  <si>
    <t xml:space="preserve">Prompt Injection as a Systemic Vulnerability in LLM-Based Tools </t>
  </si>
  <si>
    <t>Quantifying Return on Security Controls in LLM</t>
  </si>
  <si>
    <t>Securing LLM-as-a-Service for Small Businesses (Case Study)</t>
  </si>
  <si>
    <t>The Hidden Threat in Plain Text Attacking RAG Data Loaders</t>
  </si>
  <si>
    <t>Towards Hijacking the Actions of LLM-based Applications</t>
  </si>
  <si>
    <t>Traceback of Poisoning Attacks to Retrieval-Augmented Gen.</t>
  </si>
  <si>
    <t>Trust-Aware Orchestration Architecture in Multi-Tenant Systems</t>
  </si>
  <si>
    <t>Veritas: Dynamic Evaluation Framework for RAG Systems' Defense Against Prompt Injection</t>
  </si>
  <si>
    <t>Principais Insights do Portfólio de Qualidade:
Foco no Modelo de Ameaça (Q1): 100% dos estudos analisados apresentam uma seção dedicada ou formalizada mapeando as fronteiras de ataque do adversário e as capacidades do chatbot RAG.
O Gargalo da Segurança de ACL em Vetores (Q2): Apenas estudos focados em governança de múltiplos inquilinos ou controle de acesso (como Quantifying Return on Controls e Trust-Aware Orchestration) simularam e integraram com sucesso validações de controle de acesso baseadas em atributos (ABAC) ou metadados de ACL diretamente no recuperador.
Escassez de Testes Estatísticos Formais (Q3): A grande maioria dos artigos foca apenas em ASR e métricas agregadas sem comprovar formalmente a significância estatística do decaimento das métricas utilizando testes não paramétricos (como Wilcoxon ou ANOVA), sendo uma das grandes lacunas metodológicas atuais da literatura, com raras exceções</t>
  </si>
  <si>
    <t>1. A Benchmarking Study of Multi-Layer Security Filters for Secure RAG Pipelines (Mishra et al.)</t>
  </si>
  <si>
    <t>A. Quality Assessment (QA):</t>
  </si>
  <si>
    <t>Q1 (Vetores &amp; Threat Model): Yes. O estudo utiliza o modelo de ameaça "honest-but-curious", onde o atacante interage via caixa de consulta padrão e tenta obter informações confidenciais por meio de injeções diretas e indiretas de prompt.</t>
  </si>
  <si>
    <t>Q2 (DLR / ACL no Retriever): Partially. O artigo discute exaustivamente o vazamento de informações confidenciais ("data leakage" e "data theft"), aplicando uma etapa de pre-indexing para remover marcadores e entidades sensíveis (PII) antes que cheguem ao banco. No entanto, não avalia uma taxa de vazamento rotulada formalmente como DLR e não simula níveis de acesso baseados em ACL utilizando metadados de vetores.</t>
  </si>
  <si>
    <t>Q3 (Validação Estatística): No. Os resultados são reportados na forma de taxas diretas de sucesso de ataque (ASR %) e Security Scores agregados, mas sem a aplicação de testes de significância estatística formais (como teste t, ANOVA ou Wilcoxon).</t>
  </si>
  <si>
    <t>Q4 (Defesa Comparada): Yes. O artigo compara diretamente o desempenho dos pipelines RAG na versão baseline totalmente desprotegida ("Unfiltered") com a versão protegida ("Filtered") sob os mesmos conjuntos de testes adversariais.</t>
  </si>
  <si>
    <t>Q5 (Utilidade &amp; Latência): Yes. O estudo mede o impacto de utilidade e o overhead de latência end-to-end adicionado pelo pipeline de defesa (computado em segundos), registrando um aumento estável de 0,27 segundos de latência de processamento em todas as configurações.</t>
  </si>
  <si>
    <t>Q6 (Artefatos Públicos): No. O artigo descreve o desenvolvimento de conjuntos de dados sintéticos exclusivos para testes, mas não cita a disponibilização ou links para repositórios públicos desses artefatos.</t>
  </si>
  <si>
    <t>B. Data Extraction:</t>
  </si>
  <si>
    <t>Modelos de LLM avaliados: Mistral Large 3, Gemini 2.5 Flash (Flask), Groq, LLaMA 3 70B Instruct (LlaMA3-70b Instruct), DeepSeek, MiniLM, BERT-QA.</t>
  </si>
  <si>
    <t>Vetores de ataque analisados: Direct Injection (jailbreaks e injeções diretas), Indirect Injection (envenenamento de documentos/contexto na fase de recuperação), Data Exfiltration (vazamento de dados privados), Outro (harmful content generation, instructional vulnerability, social engineering).</t>
  </si>
  <si>
    <t>Controles defensivos testados: Multi-layer (arquitetura sincronizada composta por: validações semânticas de entrada/query, remoção de entidades/PII pre-indexing, e verificação/filtragem de segurança na geração da resposta de saída).</t>
  </si>
  <si>
    <t>ASR reportada:</t>
  </si>
  <si>
    <t>Unfiltered (Baseline): Mistral (100%), Gemini (100%), Groq (100%), LLaMA 3 70B (90%), DeepSeek (75%), MiniLM (100%), BERT-QA (100%).</t>
  </si>
  <si>
    <t>Filtered (Defendido): Mistral (0%), Gemini (10%, com 33,3% de falha em engenharia social), Groq (10%), LLaMA 3 70B (20%), DeepSeek (25%), MiniLM (60%), BERT-QA (85%).</t>
  </si>
  <si>
    <t>DLR reportada: Não quantificada numericamente sob essa métrica.</t>
  </si>
  <si>
    <t>Utilidade / RAGAS Relevância: Avaliada de forma indireta pela capacidade de o modelo seguir as diretrizes de recusa sem afetar a consistência das respostas, além do monitoramento estrito do impacto de latência (+0,27s).</t>
  </si>
  <si>
    <t>2. A Comprehensive Framework for Secure Multi-Agent Retrieval-Augmented Generation Systems (Ghouil et al. / SecRAG &amp; SMARS)</t>
  </si>
  <si>
    <t>Q1 (Vetores &amp; Threat Model): Yes. Define um modelo de ameaça abrangente contra ataques coordenados e propagação de vulnerabilidades entre agentes em ambientes de RAG multiagente.</t>
  </si>
  <si>
    <t>Q2 (DLR / ACL no Retriever): Partially. Aborda a preservação de privacidade na geração de embeddings injetando ruído calibrado baseado em Privacidade Diferencial (calibração de ruído Gaussiano) para evitar ataques de inversão de embeddings e vazamento de dados corporativos. Contudo, não simula um filtro de permissão ACL nativo baseado em metadados no retriever vetorial.</t>
  </si>
  <si>
    <t>Q3 (Validação Estatística): Partially. O artigo afirma que todos os experimentos foram realizados em mais de 50 execuções independentes para garantir a significância estatística de suas métricas, mas não descreve a aplicação de testes estatísticos específicos como Wilcoxon ou ANOVA nas tabelas de validação.</t>
  </si>
  <si>
    <t>Q4 (Defesa Comparada): Yes. A tabela V compara a ASR da arquitetura baseline sem segurança com as defesas "Basic", "Intermediate" e a proposta "SecRAG".</t>
  </si>
  <si>
    <t>Q5 (Utilidade &amp; Latência): Yes. Mede quantitativamente o impacto no throughput (%), qualidade de resposta (%), latência normalizada e uso de recursos computacionais (Fig. 3), além de reportar o tempo médio de detecção (MTTD) e o aumento percentual de latência.</t>
  </si>
  <si>
    <t>Q6 (Artefatos Públicos): No. Embora detalhe a arquitetura do simulador SMARS, os trechos não indicam disponibilização pública do código-fonte ou do dataset sintético.</t>
  </si>
  <si>
    <t>Modelos de LLM avaliados: Outro (GPT-3.5-turbo integrado no simulador SMARS, além de embeddings BGE-large e ChromaDB como vetorizador).</t>
  </si>
  <si>
    <t>Vetores de ataque analisados: Context Poisoning (S1: envenenamento de documentos na base), Direct Injection (R1: injeção de prompt direta), Indirect Injection, Outro (S2: interceptação e alteração de mensagens, S3: ataques coordenados multiagentes, S4: exaustão de recursos do sistema).</t>
  </si>
  <si>
    <t>Controles defensivos testados: Multi-layer (SecRAG de 4 camadas: L1 Input Sanitization, L2 Protected Retrieval, L3 Verified Generation, L4 Output Security, além de Security Monitor ativo).</t>
  </si>
  <si>
    <t>Baseline (Sem Defesa): 87,4%.</t>
  </si>
  <si>
    <t>Basic (Validação de Entrada): 34,5%.</t>
  </si>
  <si>
    <t>Intermediate (Entrada + Filtragem de Recuperação): 28,9%.</t>
  </si>
  <si>
    <t>SecRAG (Ours - Avançado): 9,8% (redução de até 89% na taxa de sucesso).</t>
  </si>
  <si>
    <t>DLR reportada: Não reportada sob esta métrica. Avaliado o indicador de severidade de vazamento de dados (Di​) qualitativamente.</t>
  </si>
  <si>
    <t>Utilidade / RAGAS Relevância: A utilidade é mantida em níveis satisfatórios com um aumento aceitável de 38% na latência e 22% no uso de recursos no SecRAG. Menciona o RAGAS e o ARES em trabalhos correlacionados.</t>
  </si>
  <si>
    <t>3. Prompt Injection as a Systemic Vulnerability in LLM-Based Tools (Tripathi et al.)</t>
  </si>
  <si>
    <t>Q1 (Vetores &amp; Threat Model): Yes. Formaliza a injeção de prompt como uma violação de limite de controle e confiança (trust-boundary violation) que agrupa incorretamente dados e instruções.</t>
  </si>
  <si>
    <t>Q2 (DLR / ACL no Retriever): Partially. O estudo testa a mitigação de "provenance tracking" (rastreamento de proveniência de dados) e "provenance-aware retrieval" (onde os conteúdos recuperados são etiquetados com níveis de confiança). Não simula regras de ACL em nível de banco vetorial.</t>
  </si>
  <si>
    <t>Q3 (Validação Estatística): Yes. Realiza validações matemáticas formais utilizando testes z de duas proporções com correção de Bonferroni e calcula o tamanho do efeito por meio do h de Cohen, estabelecendo p-valores explícitos nas comparações de mitigação (p&lt;0,001).</t>
  </si>
  <si>
    <t>Q4 (Defesa Comparada): Yes. A tabela IV compara os níveis de ASR sem proteção (Baseline) contra as defesas isoladas (M1-M6) e suas combinações sob o mesmo ataque.</t>
  </si>
  <si>
    <t>Q5 (Utilidade &amp; Latência): Yes. Avalia a latência das técnicas de detecção (computadas de 3 a 15 ms na Tabela III), além de analisar a utilidade operacional de True Positive Rate (TPR) e False Positive Rate (FPR) de seus detectores.</t>
  </si>
  <si>
    <t>Q6 (Artefatos Públicos): Yes. Todos os prompts, payloads, configurações de sistemas e dados brutos das 2.100 rodadas experimentais estão disponíveis no repositório GitHub: https://github.com/Mukesh-SCS/prompt-injection-benchmark.git.</t>
  </si>
  <si>
    <t>Modelos de LLM avaliados: Claude 3.5 (Claude 3.5 Sonnet), GPT-4 (gpt-4-0613), Gemini 1.5 Pro.</t>
  </si>
  <si>
    <t>Vetores de ataque analisados: Direct Injection (instruction override, role redefinition, prompt extraction, multi-turn), Indirect Injection (document-embedded, quotation-disguised, multilingual), Data Exfiltration, Outro (tool-output attacks, memory poisoning).</t>
  </si>
  <si>
    <t>Controles defensivos testados: None (Baseline), PII Redaction (dentro das defesas de escrita), Outro (M1 prompt engineering, M4 tool permission gating, M5 memory write filtering, M6 provenance tracking).</t>
  </si>
  <si>
    <t>Chatbot: Direct Injection (41% de média geral).</t>
  </si>
  <si>
    <t>RAG: Direct (42%), Indirect Injection (68%).</t>
  </si>
  <si>
    <t>Agent (Baseline): Direct (51%), Indirect (73%), Tool-output (61%), Memory Poisoning (94%).</t>
  </si>
  <si>
    <t>Agent (Defendido M4+M5+M6): Tool-output cai para 16% e Memory Poisoning cai para 11%.</t>
  </si>
  <si>
    <t>DLR reportada: Não reportada.</t>
  </si>
  <si>
    <t>Utilidade / RAGAS Relevância: Preservação de utilidade medida pelo impacto das defesas no tempo de processamento dos agentes e pelas taxas de persistência de instruções envenenadas entre sessões.</t>
  </si>
  <si>
    <t>4. Veritas: Dynamic Evaluation Framework for RAG Systems' Defense Against Prompt Injection (John et al.)</t>
  </si>
  <si>
    <t>Q1 (Vetores &amp; Threat Model): Yes. Trata-se de um ambiente de avaliação dinâmica modular em que as vulnerabilidades de injeção indireta são simuladas nas etapas de recuperação e geração do RAG.</t>
  </si>
  <si>
    <t>Q2 (DLR / ACL no Retriever): No. O foco do framework reside em injeções indiretas e desvios de geração, sem implementar métricas de vazamento corporativo DLR ou filtragens por ACL baseadas em permissões de usuário.</t>
  </si>
  <si>
    <t>Q3 (Validação Estatística): No. Não cita o uso de testes estatísticos formais (como Wilcoxon ou t-test) com p-valores para as tabelas de validação.</t>
  </si>
  <si>
    <t>Q4 (Defesa Comparada): Yes. A tabela II compara a taxa de ASR sob os ataques estáticos e adaptativos utilizando nenhuma segurança (Baseline) contra as defesas ativas de sanduíche, strings de borda, filtros de perplexidade e filtros de instrução.</t>
  </si>
  <si>
    <t>Q5 (Utilidade &amp; Latência): Yes. Rastreia e avalia a utilidade das tarefas benignas (flutuando de 0,82 a 0,99 nas configurações defendidas) e quantifica com precisão o overhead de latência de cada defesa em milissegundos (+2ms para sanduíche, +145ms para DeBERTa e +320ms para perplexidade).</t>
  </si>
  <si>
    <t>Q6 (Artefatos Públicos): Yes. Os autores anunciam a disponibilização em formato open-source dos arquivos YAML de configuração, scripts de carregadores de dados para benchmarks conhecidos (BIPIA, InjecAgent, AgentDojo, Bordair) e cadernos de avaliação.</t>
  </si>
  <si>
    <t>Modelos de LLM avaliados: Outro (Microsoft Phi-2 2.7B, Llama-3 8B, Mistral v0.3 7B, Qwen2.5 7B).</t>
  </si>
  <si>
    <t>Vetores de ataque analisados: Direct Injection (injeções estáticas e prompt extraction), Indirect Injection (ataques adaptativos GCG e AutoDAN incorporados no banco vetorial), Outro (Visual Injections / injeções multimodais via perturbações de pixels, ações não autorizadas e desvio de comportamento).</t>
  </si>
  <si>
    <t>Controles defensivos testados: None (Baseline), XML Delimiters (Border Strings), Outro (Prompt Sandwich, Filtro de Perplexidade, Filtro de Instrução baseado em DeBERTa-v3-base).</t>
  </si>
  <si>
    <t>Standard Static Text: Baseline (88,5%), Prompt Sandwich (42,1%), Border Strings (12,4%), DeBERTa Instruction Filter (8,3%).</t>
  </si>
  <si>
    <t>Agentic Adaptive (GCG): Baseline (94,2%), Prompt Sandwich (78,2%), Perplexity Filter (45,0%), DeBERTa Instruction Filter (15,3%).</t>
  </si>
  <si>
    <t>Multimodal (Visual Perturbations): Baseline (92,1%), DeBERTa Instruction Filter (91,5% - provando a ineficácia de filtros puramente textuais contra injeções visuais).</t>
  </si>
  <si>
    <t>Utilidade / RAGAS Relevância: A utilidade benigna das respostas é mantida alta (variando de 89% a 99%) com a aplicação de filtros de instrução e delimitadores de borda. O estudo aponta o RAGAS em trabalhos relacionados.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</si>
</sst>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6.0"/>
      <color rgb="FF2F5496"/>
      <name val="Calibri"/>
    </font>
    <font>
      <i/>
      <sz val="9.0"/>
      <color theme="1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1.0"/>
      <color rgb="FF000000"/>
      <name val="Google Sans Text"/>
    </font>
    <font>
      <color rgb="FF000000"/>
      <name val="Calibri"/>
      <scheme val="minor"/>
    </font>
    <font>
      <sz val="11.0"/>
      <color rgb="FF000000"/>
      <name val="Google Sans Text"/>
    </font>
    <font>
      <i/>
      <sz val="11.0"/>
      <color rgb="FF000000"/>
      <name val="Google Sans Text"/>
    </font>
  </fonts>
  <fills count="8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3" numFmtId="0" xfId="0" applyAlignment="1" applyBorder="1" applyFill="1" applyFont="1">
      <alignment horizontal="center"/>
    </xf>
    <xf borderId="0" fillId="0" fontId="4" numFmtId="0" xfId="0" applyFont="1"/>
    <xf borderId="1" fillId="3" fontId="3" numFmtId="0" xfId="0" applyAlignment="1" applyBorder="1" applyFill="1" applyFont="1">
      <alignment horizontal="center"/>
    </xf>
    <xf borderId="1" fillId="4" fontId="3" numFmtId="0" xfId="0" applyAlignment="1" applyBorder="1" applyFill="1" applyFont="1">
      <alignment horizontal="center"/>
    </xf>
    <xf borderId="2" fillId="0" fontId="3" numFmtId="0" xfId="0" applyAlignment="1" applyBorder="1" applyFont="1">
      <alignment horizontal="left"/>
    </xf>
    <xf borderId="2" fillId="0" fontId="3" numFmtId="0" xfId="0" applyAlignment="1" applyBorder="1" applyFont="1">
      <alignment horizontal="center"/>
    </xf>
    <xf borderId="1" fillId="5" fontId="5" numFmtId="0" xfId="0" applyAlignment="1" applyBorder="1" applyFill="1" applyFont="1">
      <alignment horizontal="left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readingOrder="0"/>
    </xf>
    <xf borderId="1" fillId="6" fontId="4" numFmtId="0" xfId="0" applyBorder="1" applyFill="1" applyFont="1"/>
    <xf borderId="1" fillId="7" fontId="4" numFmtId="0" xfId="0" applyBorder="1" applyFill="1" applyFont="1"/>
    <xf borderId="0" fillId="0" fontId="4" numFmtId="0" xfId="0" applyAlignment="1" applyFont="1">
      <alignment horizontal="left" shrinkToFit="0" vertical="top" wrapText="1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left" readingOrder="0" shrinkToFit="0" wrapText="0"/>
    </xf>
    <xf borderId="0" fillId="0" fontId="10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/>
  </sheetViews>
  <sheetFormatPr customHeight="1" defaultColWidth="14.43" defaultRowHeight="15.0"/>
  <cols>
    <col customWidth="1" min="1" max="1" width="116.14"/>
    <col customWidth="1" min="2" max="7" width="25.0"/>
    <col customWidth="1" min="8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  <c r="B5" s="5" t="s">
        <v>4</v>
      </c>
    </row>
    <row r="6">
      <c r="A6" s="6" t="s">
        <v>5</v>
      </c>
      <c r="B6" s="5" t="s">
        <v>6</v>
      </c>
    </row>
    <row r="7">
      <c r="A7" s="7" t="s">
        <v>7</v>
      </c>
      <c r="B7" s="5" t="s">
        <v>8</v>
      </c>
    </row>
    <row r="9">
      <c r="A9" s="3" t="s">
        <v>9</v>
      </c>
    </row>
    <row r="10">
      <c r="A10" s="8" t="s">
        <v>10</v>
      </c>
      <c r="B10" s="9" t="s">
        <v>11</v>
      </c>
      <c r="C10" s="9" t="s">
        <v>12</v>
      </c>
      <c r="D10" s="9" t="s">
        <v>13</v>
      </c>
      <c r="E10" s="9" t="s">
        <v>14</v>
      </c>
      <c r="F10" s="9" t="s">
        <v>15</v>
      </c>
      <c r="G10" s="9" t="s">
        <v>16</v>
      </c>
    </row>
    <row r="11">
      <c r="A11" s="5" t="s">
        <v>17</v>
      </c>
      <c r="B11" s="4">
        <f t="shared" ref="B11:G11" si="1">COUNTIF(B14:B36, "Yes")</f>
        <v>22</v>
      </c>
      <c r="C11" s="4">
        <f t="shared" si="1"/>
        <v>2</v>
      </c>
      <c r="D11" s="4">
        <f t="shared" si="1"/>
        <v>3</v>
      </c>
      <c r="E11" s="4">
        <f t="shared" si="1"/>
        <v>16</v>
      </c>
      <c r="F11" s="4">
        <f t="shared" si="1"/>
        <v>7</v>
      </c>
      <c r="G11" s="4">
        <f t="shared" si="1"/>
        <v>16</v>
      </c>
    </row>
    <row r="12">
      <c r="A12" s="5" t="s">
        <v>18</v>
      </c>
      <c r="B12" s="6">
        <f t="shared" ref="B12:G12" si="2">COUNTIF(B14:B36, "Partially")</f>
        <v>0</v>
      </c>
      <c r="C12" s="6">
        <f t="shared" si="2"/>
        <v>4</v>
      </c>
      <c r="D12" s="6">
        <f t="shared" si="2"/>
        <v>5</v>
      </c>
      <c r="E12" s="6">
        <f t="shared" si="2"/>
        <v>1</v>
      </c>
      <c r="F12" s="6">
        <f t="shared" si="2"/>
        <v>6</v>
      </c>
      <c r="G12" s="6">
        <f t="shared" si="2"/>
        <v>3</v>
      </c>
    </row>
    <row r="13">
      <c r="A13" s="5" t="s">
        <v>19</v>
      </c>
      <c r="B13" s="7">
        <f t="shared" ref="B13:G13" si="3">COUNTIF(B14:B36, "No")</f>
        <v>0</v>
      </c>
      <c r="C13" s="7">
        <f t="shared" si="3"/>
        <v>16</v>
      </c>
      <c r="D13" s="7">
        <f t="shared" si="3"/>
        <v>14</v>
      </c>
      <c r="E13" s="7">
        <f t="shared" si="3"/>
        <v>5</v>
      </c>
      <c r="F13" s="7">
        <f t="shared" si="3"/>
        <v>9</v>
      </c>
      <c r="G13" s="7">
        <f t="shared" si="3"/>
        <v>3</v>
      </c>
    </row>
    <row r="14" ht="27.75" customHeight="1">
      <c r="A14" s="10" t="s">
        <v>20</v>
      </c>
      <c r="B14" s="11" t="s">
        <v>21</v>
      </c>
      <c r="C14" s="11" t="s">
        <v>22</v>
      </c>
      <c r="D14" s="11" t="s">
        <v>23</v>
      </c>
      <c r="E14" s="11" t="s">
        <v>24</v>
      </c>
      <c r="F14" s="11" t="s">
        <v>25</v>
      </c>
      <c r="G14" s="11" t="s">
        <v>26</v>
      </c>
    </row>
    <row r="15" ht="15.75" customHeight="1">
      <c r="A15" s="12" t="s">
        <v>27</v>
      </c>
      <c r="B15" s="4" t="s">
        <v>3</v>
      </c>
      <c r="C15" s="6" t="s">
        <v>5</v>
      </c>
      <c r="D15" s="7" t="s">
        <v>7</v>
      </c>
      <c r="E15" s="4" t="s">
        <v>3</v>
      </c>
      <c r="F15" s="4" t="s">
        <v>3</v>
      </c>
      <c r="G15" s="7" t="s">
        <v>7</v>
      </c>
    </row>
    <row r="16" ht="15.75" customHeight="1">
      <c r="A16" s="13" t="s">
        <v>28</v>
      </c>
      <c r="B16" s="4" t="s">
        <v>3</v>
      </c>
      <c r="C16" s="6" t="s">
        <v>5</v>
      </c>
      <c r="D16" s="6" t="s">
        <v>5</v>
      </c>
      <c r="E16" s="4" t="s">
        <v>3</v>
      </c>
      <c r="F16" s="4" t="s">
        <v>3</v>
      </c>
      <c r="G16" s="7" t="s">
        <v>7</v>
      </c>
    </row>
    <row r="17" ht="19.5" customHeight="1">
      <c r="A17" s="14" t="s">
        <v>29</v>
      </c>
      <c r="B17" s="4" t="s">
        <v>3</v>
      </c>
      <c r="C17" s="6" t="s">
        <v>5</v>
      </c>
      <c r="D17" s="6" t="s">
        <v>5</v>
      </c>
      <c r="E17" s="4" t="s">
        <v>3</v>
      </c>
      <c r="F17" s="4" t="s">
        <v>3</v>
      </c>
      <c r="G17" s="4" t="s">
        <v>3</v>
      </c>
    </row>
    <row r="18" ht="19.5" customHeight="1">
      <c r="A18" s="13" t="s">
        <v>30</v>
      </c>
      <c r="B18" s="4" t="s">
        <v>3</v>
      </c>
      <c r="C18" s="7" t="s">
        <v>7</v>
      </c>
      <c r="D18" s="7" t="s">
        <v>7</v>
      </c>
      <c r="E18" s="7" t="s">
        <v>7</v>
      </c>
      <c r="F18" s="7" t="s">
        <v>7</v>
      </c>
      <c r="G18" s="4" t="s">
        <v>3</v>
      </c>
    </row>
    <row r="19" ht="19.5" customHeight="1">
      <c r="A19" s="14" t="s">
        <v>31</v>
      </c>
      <c r="B19" s="4" t="s">
        <v>3</v>
      </c>
      <c r="C19" s="7" t="s">
        <v>7</v>
      </c>
      <c r="D19" s="7" t="s">
        <v>7</v>
      </c>
      <c r="E19" s="4" t="s">
        <v>3</v>
      </c>
      <c r="F19" s="4" t="s">
        <v>3</v>
      </c>
      <c r="G19" s="4" t="s">
        <v>3</v>
      </c>
    </row>
    <row r="20" ht="19.5" customHeight="1">
      <c r="A20" s="13" t="s">
        <v>32</v>
      </c>
      <c r="B20" s="4" t="s">
        <v>3</v>
      </c>
      <c r="C20" s="7" t="s">
        <v>7</v>
      </c>
      <c r="D20" s="6" t="s">
        <v>5</v>
      </c>
      <c r="E20" s="4" t="s">
        <v>3</v>
      </c>
      <c r="F20" s="6" t="s">
        <v>5</v>
      </c>
      <c r="G20" s="4" t="s">
        <v>3</v>
      </c>
    </row>
    <row r="21" ht="19.5" customHeight="1">
      <c r="A21" s="14" t="s">
        <v>33</v>
      </c>
      <c r="B21" s="4" t="s">
        <v>3</v>
      </c>
      <c r="C21" s="7" t="s">
        <v>7</v>
      </c>
      <c r="D21" s="6" t="s">
        <v>5</v>
      </c>
      <c r="E21" s="4" t="s">
        <v>3</v>
      </c>
      <c r="F21" s="6" t="s">
        <v>5</v>
      </c>
      <c r="G21" s="4" t="s">
        <v>3</v>
      </c>
    </row>
    <row r="22" ht="19.5" customHeight="1">
      <c r="A22" s="13" t="s">
        <v>34</v>
      </c>
      <c r="B22" s="4" t="s">
        <v>3</v>
      </c>
      <c r="C22" s="7" t="s">
        <v>7</v>
      </c>
      <c r="D22" s="7" t="s">
        <v>7</v>
      </c>
      <c r="E22" s="4" t="s">
        <v>3</v>
      </c>
      <c r="F22" s="6" t="s">
        <v>5</v>
      </c>
      <c r="G22" s="4" t="s">
        <v>3</v>
      </c>
    </row>
    <row r="23" ht="19.5" customHeight="1">
      <c r="A23" s="14" t="s">
        <v>35</v>
      </c>
      <c r="B23" s="4" t="s">
        <v>3</v>
      </c>
      <c r="C23" s="7" t="s">
        <v>7</v>
      </c>
      <c r="D23" s="7" t="s">
        <v>7</v>
      </c>
      <c r="E23" s="4" t="s">
        <v>3</v>
      </c>
      <c r="F23" s="6" t="s">
        <v>5</v>
      </c>
      <c r="G23" s="4" t="s">
        <v>3</v>
      </c>
    </row>
    <row r="24" ht="19.5" customHeight="1">
      <c r="A24" s="13" t="s">
        <v>36</v>
      </c>
      <c r="B24" s="4" t="s">
        <v>3</v>
      </c>
      <c r="C24" s="7" t="s">
        <v>7</v>
      </c>
      <c r="D24" s="7" t="s">
        <v>7</v>
      </c>
      <c r="E24" s="7" t="s">
        <v>7</v>
      </c>
      <c r="F24" s="7" t="s">
        <v>7</v>
      </c>
      <c r="G24" s="7" t="s">
        <v>7</v>
      </c>
    </row>
    <row r="25" ht="19.5" customHeight="1">
      <c r="A25" s="14" t="s">
        <v>37</v>
      </c>
      <c r="B25" s="4" t="s">
        <v>3</v>
      </c>
      <c r="C25" s="7" t="s">
        <v>7</v>
      </c>
      <c r="D25" s="7" t="s">
        <v>7</v>
      </c>
      <c r="E25" s="7" t="s">
        <v>7</v>
      </c>
      <c r="F25" s="7" t="s">
        <v>7</v>
      </c>
      <c r="G25" s="4" t="s">
        <v>3</v>
      </c>
    </row>
    <row r="26" ht="19.5" customHeight="1">
      <c r="A26" s="13" t="s">
        <v>38</v>
      </c>
      <c r="B26" s="4" t="s">
        <v>3</v>
      </c>
      <c r="C26" s="7" t="s">
        <v>7</v>
      </c>
      <c r="D26" s="4" t="s">
        <v>3</v>
      </c>
      <c r="E26" s="7" t="s">
        <v>7</v>
      </c>
      <c r="F26" s="7" t="s">
        <v>7</v>
      </c>
      <c r="G26" s="4" t="s">
        <v>3</v>
      </c>
    </row>
    <row r="27" ht="19.5" customHeight="1">
      <c r="A27" s="14" t="s">
        <v>39</v>
      </c>
      <c r="B27" s="4" t="s">
        <v>3</v>
      </c>
      <c r="C27" s="7" t="s">
        <v>7</v>
      </c>
      <c r="D27" s="7" t="s">
        <v>7</v>
      </c>
      <c r="E27" s="6" t="s">
        <v>5</v>
      </c>
      <c r="F27" s="7" t="s">
        <v>7</v>
      </c>
      <c r="G27" s="6" t="s">
        <v>5</v>
      </c>
    </row>
    <row r="28" ht="19.5" customHeight="1">
      <c r="A28" s="13" t="s">
        <v>40</v>
      </c>
      <c r="B28" s="4" t="s">
        <v>3</v>
      </c>
      <c r="C28" s="7" t="s">
        <v>7</v>
      </c>
      <c r="D28" s="7" t="s">
        <v>7</v>
      </c>
      <c r="E28" s="4" t="s">
        <v>3</v>
      </c>
      <c r="F28" s="7" t="s">
        <v>7</v>
      </c>
      <c r="G28" s="6" t="s">
        <v>5</v>
      </c>
    </row>
    <row r="29" ht="15.75" customHeight="1">
      <c r="A29" s="12" t="s">
        <v>41</v>
      </c>
      <c r="B29" s="4" t="s">
        <v>3</v>
      </c>
      <c r="C29" s="6" t="s">
        <v>5</v>
      </c>
      <c r="D29" s="4" t="s">
        <v>3</v>
      </c>
      <c r="E29" s="4" t="s">
        <v>3</v>
      </c>
      <c r="F29" s="4" t="s">
        <v>3</v>
      </c>
      <c r="G29" s="4" t="s">
        <v>3</v>
      </c>
    </row>
    <row r="30" ht="19.5" customHeight="1">
      <c r="A30" s="13" t="s">
        <v>42</v>
      </c>
      <c r="B30" s="4" t="s">
        <v>3</v>
      </c>
      <c r="C30" s="4" t="s">
        <v>3</v>
      </c>
      <c r="D30" s="6" t="s">
        <v>5</v>
      </c>
      <c r="E30" s="4" t="s">
        <v>3</v>
      </c>
      <c r="F30" s="6" t="s">
        <v>5</v>
      </c>
      <c r="G30" s="4" t="s">
        <v>3</v>
      </c>
    </row>
    <row r="31" ht="19.5" customHeight="1">
      <c r="A31" s="12" t="s">
        <v>43</v>
      </c>
      <c r="B31" s="4" t="s">
        <v>3</v>
      </c>
      <c r="C31" s="7" t="s">
        <v>7</v>
      </c>
      <c r="D31" s="7" t="s">
        <v>7</v>
      </c>
      <c r="E31" s="4" t="s">
        <v>3</v>
      </c>
      <c r="F31" s="6" t="s">
        <v>5</v>
      </c>
      <c r="G31" s="4" t="s">
        <v>3</v>
      </c>
    </row>
    <row r="32" ht="19.5" customHeight="1">
      <c r="A32" s="13" t="s">
        <v>44</v>
      </c>
      <c r="B32" s="4" t="s">
        <v>3</v>
      </c>
      <c r="C32" s="7" t="s">
        <v>7</v>
      </c>
      <c r="D32" s="7" t="s">
        <v>7</v>
      </c>
      <c r="E32" s="7" t="s">
        <v>7</v>
      </c>
      <c r="F32" s="7" t="s">
        <v>7</v>
      </c>
      <c r="G32" s="4" t="s">
        <v>3</v>
      </c>
    </row>
    <row r="33" ht="19.5" customHeight="1">
      <c r="A33" s="12" t="s">
        <v>45</v>
      </c>
      <c r="B33" s="4" t="s">
        <v>3</v>
      </c>
      <c r="C33" s="7" t="s">
        <v>7</v>
      </c>
      <c r="D33" s="7" t="s">
        <v>7</v>
      </c>
      <c r="E33" s="4" t="s">
        <v>3</v>
      </c>
      <c r="F33" s="7" t="s">
        <v>7</v>
      </c>
      <c r="G33" s="6" t="s">
        <v>5</v>
      </c>
    </row>
    <row r="34" ht="19.5" customHeight="1">
      <c r="A34" s="13" t="s">
        <v>46</v>
      </c>
      <c r="B34" s="4" t="s">
        <v>3</v>
      </c>
      <c r="C34" s="7" t="s">
        <v>7</v>
      </c>
      <c r="D34" s="7" t="s">
        <v>7</v>
      </c>
      <c r="E34" s="4" t="s">
        <v>3</v>
      </c>
      <c r="F34" s="7" t="s">
        <v>7</v>
      </c>
      <c r="G34" s="4" t="s">
        <v>3</v>
      </c>
    </row>
    <row r="35" ht="19.5" customHeight="1">
      <c r="A35" s="14" t="s">
        <v>47</v>
      </c>
      <c r="B35" s="4" t="s">
        <v>3</v>
      </c>
      <c r="C35" s="4" t="s">
        <v>3</v>
      </c>
      <c r="D35" s="4" t="s">
        <v>3</v>
      </c>
      <c r="E35" s="4" t="s">
        <v>3</v>
      </c>
      <c r="F35" s="4" t="s">
        <v>3</v>
      </c>
      <c r="G35" s="4" t="s">
        <v>3</v>
      </c>
    </row>
    <row r="36" ht="15.75" customHeight="1">
      <c r="A36" s="13" t="s">
        <v>48</v>
      </c>
      <c r="B36" s="4" t="s">
        <v>3</v>
      </c>
      <c r="C36" s="7" t="s">
        <v>7</v>
      </c>
      <c r="D36" s="7" t="s">
        <v>7</v>
      </c>
      <c r="E36" s="4" t="s">
        <v>3</v>
      </c>
      <c r="F36" s="4" t="s">
        <v>3</v>
      </c>
      <c r="G36" s="4" t="s">
        <v>3</v>
      </c>
    </row>
    <row r="40" ht="15.75" customHeight="1"/>
    <row r="41" ht="15.75" customHeight="1"/>
    <row r="42" ht="15.75" customHeight="1"/>
    <row r="43" ht="15.75" customHeight="1"/>
    <row r="44">
      <c r="A44" s="15" t="s">
        <v>49</v>
      </c>
    </row>
    <row r="45" ht="15.75" customHeight="1"/>
    <row r="46" ht="15.75" customHeight="1">
      <c r="A46" s="16" t="s">
        <v>50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8" t="s">
        <v>51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8" t="s">
        <v>52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8" t="s">
        <v>53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8" t="s">
        <v>54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8" t="s">
        <v>55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8" t="s">
        <v>56</v>
      </c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8" t="s">
        <v>57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8" t="s">
        <v>58</v>
      </c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8" t="s">
        <v>59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8" t="s">
        <v>60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8" t="s">
        <v>61</v>
      </c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8" t="s">
        <v>62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9" t="s">
        <v>63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9" t="s">
        <v>64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9" t="s">
        <v>65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9" t="s">
        <v>66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6" t="s">
        <v>67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8" t="s">
        <v>51</v>
      </c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18" t="s">
        <v>68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18" t="s">
        <v>69</v>
      </c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18" t="s">
        <v>70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18" t="s">
        <v>71</v>
      </c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18" t="s">
        <v>72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18" t="s">
        <v>73</v>
      </c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18" t="s">
        <v>58</v>
      </c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18" t="s">
        <v>74</v>
      </c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18" t="s">
        <v>75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18" t="s">
        <v>76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18" t="s">
        <v>62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19" t="s">
        <v>77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19" t="s">
        <v>78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19" t="s">
        <v>79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19" t="s">
        <v>80</v>
      </c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20" t="s">
        <v>81</v>
      </c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20" t="s">
        <v>82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16" t="s">
        <v>83</v>
      </c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18" t="s">
        <v>51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18" t="s">
        <v>84</v>
      </c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18" t="s">
        <v>85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21" t="s">
        <v>86</v>
      </c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21" t="s">
        <v>87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21" t="s">
        <v>88</v>
      </c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21" t="s">
        <v>89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18" t="s">
        <v>58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18" t="s">
        <v>90</v>
      </c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18" t="s">
        <v>91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18" t="s">
        <v>92</v>
      </c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18" t="s">
        <v>62</v>
      </c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19" t="s">
        <v>93</v>
      </c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19" t="s">
        <v>94</v>
      </c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19" t="s">
        <v>95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19" t="s">
        <v>96</v>
      </c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19" t="s">
        <v>97</v>
      </c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19" t="s">
        <v>98</v>
      </c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16" t="s">
        <v>99</v>
      </c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18" t="s">
        <v>51</v>
      </c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18" t="s">
        <v>100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18" t="s">
        <v>101</v>
      </c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18" t="s">
        <v>102</v>
      </c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18" t="s">
        <v>103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18" t="s">
        <v>104</v>
      </c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18" t="s">
        <v>105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18" t="s">
        <v>58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18" t="s">
        <v>106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18" t="s">
        <v>107</v>
      </c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18" t="s">
        <v>108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18" t="s">
        <v>62</v>
      </c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19" t="s">
        <v>109</v>
      </c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19" t="s">
        <v>110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19" t="s">
        <v>111</v>
      </c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19" t="s">
        <v>97</v>
      </c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19" t="s">
        <v>112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4">
    <mergeCell ref="B5:G5"/>
    <mergeCell ref="B6:G6"/>
    <mergeCell ref="B7:G7"/>
    <mergeCell ref="A44:G4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2026-08-11T05:18:31Z</dcterms:created>
  <dc:creator>openpyxl</dc:creator>
</cp:coreProperties>
</file>